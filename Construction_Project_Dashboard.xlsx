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hidePivotFieldList="1" defaultThemeVersion="166925"/>
  <xr:revisionPtr revIDLastSave="0" documentId="8_{4F5C22E8-28C3-4264-B8FC-0ED18B2606E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ject_Data" sheetId="1" r:id="rId1"/>
    <sheet name="KPI" sheetId="2" r:id="rId2"/>
    <sheet name="Pivot_Status" sheetId="8" r:id="rId3"/>
    <sheet name="Pivot_Cost" sheetId="10" r:id="rId4"/>
    <sheet name="Dashboard" sheetId="11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1" l="1"/>
  <c r="I4" i="11"/>
  <c r="C4" i="11"/>
  <c r="A4" i="11"/>
  <c r="E4" i="1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</calcChain>
</file>

<file path=xl/sharedStrings.xml><?xml version="1.0" encoding="utf-8"?>
<sst xmlns="http://schemas.openxmlformats.org/spreadsheetml/2006/main" count="109" uniqueCount="50">
  <si>
    <t>Task ID</t>
  </si>
  <si>
    <t>Activity</t>
  </si>
  <si>
    <t>Start Date</t>
  </si>
  <si>
    <t>End Data</t>
  </si>
  <si>
    <t>Planned Cost</t>
  </si>
  <si>
    <t>Actual Cost</t>
  </si>
  <si>
    <t>Planned(%)</t>
  </si>
  <si>
    <t>Actual%</t>
  </si>
  <si>
    <t>Status</t>
  </si>
  <si>
    <t>Duration(days)</t>
  </si>
  <si>
    <t>Site Clearing</t>
  </si>
  <si>
    <t>Completed</t>
  </si>
  <si>
    <t>Excavation</t>
  </si>
  <si>
    <t>PCC Work</t>
  </si>
  <si>
    <t>Footing Reinforcement</t>
  </si>
  <si>
    <t>Footing Concrete</t>
  </si>
  <si>
    <t>Column Starter Work</t>
  </si>
  <si>
    <t>Plinth Beam</t>
  </si>
  <si>
    <t>Backfilling</t>
  </si>
  <si>
    <t>Ground Floor Columns</t>
  </si>
  <si>
    <t>Ground Floor Slab</t>
  </si>
  <si>
    <t>First Floor Columns</t>
  </si>
  <si>
    <t>First Floor Slab</t>
  </si>
  <si>
    <t>Second Floor Columns</t>
  </si>
  <si>
    <t>Ongoing</t>
  </si>
  <si>
    <t>Second Floor Slab</t>
  </si>
  <si>
    <t>Delayed</t>
  </si>
  <si>
    <t>Brick Masonry GF</t>
  </si>
  <si>
    <t>Brick Masonry FF</t>
  </si>
  <si>
    <t>Internal Plastering</t>
  </si>
  <si>
    <t>External Plastering</t>
  </si>
  <si>
    <t>Electrical Conduits</t>
  </si>
  <si>
    <t>Not Started</t>
  </si>
  <si>
    <t>Plumbing Works</t>
  </si>
  <si>
    <t>Flooring Works</t>
  </si>
  <si>
    <t>Painting Works</t>
  </si>
  <si>
    <t>Doors &amp; Windows</t>
  </si>
  <si>
    <t>Final Finishing</t>
  </si>
  <si>
    <t>Project Handover</t>
  </si>
  <si>
    <t>Total Budget</t>
  </si>
  <si>
    <t>Cost Variance</t>
  </si>
  <si>
    <t>Completion %</t>
  </si>
  <si>
    <t>Delayed Tasks</t>
  </si>
  <si>
    <t>Count of Task ID</t>
  </si>
  <si>
    <t>Grand Total</t>
  </si>
  <si>
    <t>Sum of Actual Cost</t>
  </si>
  <si>
    <t>Sum of Planned Cost</t>
  </si>
  <si>
    <t>CONSTRUCTION PROJECT MANAGEMENT DASHBOARD</t>
  </si>
  <si>
    <t>Actual cost</t>
  </si>
  <si>
    <t>Prepared By: Nittala Sri Divya Harshini Tool Used : Microsoft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</si>
</sst>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</font>
    <font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15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4" fontId="3" fillId="2" borderId="1" xfId="0" applyNumberFormat="1" applyFont="1" applyFill="1" applyBorder="1" applyAlignment="1">
      <alignment horizontal="center"/>
    </xf>
    <xf numFmtId="0" fontId="1" fillId="2" borderId="0" xfId="0" applyFont="1" applyFill="1"/>
    <xf numFmtId="14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4" fillId="4" borderId="0" xfId="0" applyFont="1" applyFill="1" applyBorder="1"/>
    <xf numFmtId="0" fontId="1" fillId="4" borderId="0" xfId="0" applyFont="1" applyFill="1" applyBorder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164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1" xfId="0" applyFont="1" applyFill="1" applyBorder="1"/>
    <xf numFmtId="0" fontId="2" fillId="3" borderId="0" xfId="0" applyFont="1" applyFill="1" applyAlignment="1">
      <alignment horizontal="center"/>
    </xf>
    <xf numFmtId="164" fontId="10" fillId="3" borderId="0" xfId="0" applyNumberFormat="1" applyFont="1" applyFill="1" applyBorder="1" applyAlignment="1">
      <alignment horizontal="center"/>
    </xf>
    <xf numFmtId="10" fontId="2" fillId="3" borderId="10" xfId="0" applyNumberFormat="1" applyFont="1" applyFill="1" applyBorder="1" applyAlignment="1">
      <alignment horizontal="center"/>
    </xf>
    <xf numFmtId="10" fontId="2" fillId="3" borderId="0" xfId="0" applyNumberFormat="1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164" fontId="8" fillId="3" borderId="5" xfId="0" applyNumberFormat="1" applyFont="1" applyFill="1" applyBorder="1" applyAlignment="1">
      <alignment horizontal="center"/>
    </xf>
    <xf numFmtId="164" fontId="8" fillId="3" borderId="7" xfId="0" applyNumberFormat="1" applyFont="1" applyFill="1" applyBorder="1" applyAlignment="1">
      <alignment horizontal="center"/>
    </xf>
    <xf numFmtId="164" fontId="8" fillId="3" borderId="8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31"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Medium9"/>
  <colors>
    <mruColors>
      <color rgb="FF00695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[Construction_Project_Dashboard.xlsx]Pivot_Status!PivotTable6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 w="19050">
            <a:solidFill>
              <a:srgbClr val="70AD4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rgbClr val="C00000"/>
            </a:solidFill>
            <a:prstDash val="solid"/>
          </a:ln>
          <a:effectLst/>
        </c:spPr>
      </c:pivotFmt>
      <c:pivotFmt>
        <c:idx val="2"/>
        <c:spPr>
          <a:solidFill>
            <a:srgbClr val="808080"/>
          </a:solidFill>
          <a:ln w="19050">
            <a:solidFill>
              <a:srgbClr val="808080"/>
            </a:solidFill>
            <a:prstDash val="solid"/>
          </a:ln>
          <a:effectLst/>
        </c:spPr>
      </c:pivotFmt>
      <c:pivotFmt>
        <c:idx val="3"/>
        <c:spPr>
          <a:solidFill>
            <a:srgbClr val="FFC000"/>
          </a:solidFill>
          <a:ln w="19050">
            <a:solidFill>
              <a:srgbClr val="FFC000"/>
            </a:solidFill>
            <a:prstDash val="solid"/>
          </a:ln>
          <a:effectLst/>
        </c:spPr>
      </c:pivotFmt>
      <c:pivotFmt>
        <c:idx val="4"/>
        <c:spPr>
          <a:solidFill>
            <a:srgbClr val="70AD47"/>
          </a:solidFill>
          <a:ln w="19050">
            <a:solidFill>
              <a:srgbClr val="70AD47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rgbClr val="70AD47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15-4027-80CA-8702BA2F6D1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rgbClr val="C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B4EE-4FB8-B142-703D2CB85DDD}"/>
              </c:ext>
            </c:extLst>
          </c:dPt>
          <c:dPt>
            <c:idx val="2"/>
            <c:bubble3D val="0"/>
            <c:spPr>
              <a:solidFill>
                <a:srgbClr val="808080"/>
              </a:solidFill>
              <a:ln w="19050">
                <a:solidFill>
                  <a:srgbClr val="80808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EE-4FB8-B142-703D2CB85DDD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rgbClr val="FFC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B4EE-4FB8-B142-703D2CB85DDD}"/>
              </c:ext>
            </c:extLst>
          </c:dPt>
          <c:cat>
            <c:strRef>
              <c:f>Pivot_Status!$A$4:$A$8</c:f>
              <c:strCache>
                <c:ptCount val="4"/>
                <c:pt idx="0">
                  <c:v>Completed</c:v>
                </c:pt>
                <c:pt idx="1">
                  <c:v>Delayed</c:v>
                </c:pt>
                <c:pt idx="2">
                  <c:v>Not Started</c:v>
                </c:pt>
                <c:pt idx="3">
                  <c:v>Ongoing</c:v>
                </c:pt>
              </c:strCache>
            </c:strRef>
          </c:cat>
          <c:val>
            <c:numRef>
              <c:f>Pivot_Status!$B$4:$B$8</c:f>
              <c:numCache>
                <c:formatCode>General</c:formatCode>
                <c:ptCount val="4"/>
                <c:pt idx="0">
                  <c:v>12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6-4EF3-8F0C-F63E4146D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[Construction_Project_Dashboard.xlsx]Pivot_Cost!PivotTable7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vs Actual Cost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Pivot_Cost!$B$3</c:f>
              <c:strCache>
                <c:ptCount val="1"/>
                <c:pt idx="0">
                  <c:v>Sum of Actual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Pivot_Cost!$A$4:$A$29</c:f>
              <c:strCache>
                <c:ptCount val="25"/>
                <c:pt idx="0">
                  <c:v>Backfilling</c:v>
                </c:pt>
                <c:pt idx="1">
                  <c:v>Brick Masonry FF</c:v>
                </c:pt>
                <c:pt idx="2">
                  <c:v>Brick Masonry GF</c:v>
                </c:pt>
                <c:pt idx="3">
                  <c:v>Column Starter Work</c:v>
                </c:pt>
                <c:pt idx="4">
                  <c:v>Doors &amp; Windows</c:v>
                </c:pt>
                <c:pt idx="5">
                  <c:v>Electrical Conduits</c:v>
                </c:pt>
                <c:pt idx="6">
                  <c:v>Excavation</c:v>
                </c:pt>
                <c:pt idx="7">
                  <c:v>External Plastering</c:v>
                </c:pt>
                <c:pt idx="8">
                  <c:v>Final Finishing</c:v>
                </c:pt>
                <c:pt idx="9">
                  <c:v>First Floor Columns</c:v>
                </c:pt>
                <c:pt idx="10">
                  <c:v>First Floor Slab</c:v>
                </c:pt>
                <c:pt idx="11">
                  <c:v>Flooring Works</c:v>
                </c:pt>
                <c:pt idx="12">
                  <c:v>Footing Concrete</c:v>
                </c:pt>
                <c:pt idx="13">
                  <c:v>Footing Reinforcement</c:v>
                </c:pt>
                <c:pt idx="14">
                  <c:v>Ground Floor Columns</c:v>
                </c:pt>
                <c:pt idx="15">
                  <c:v>Ground Floor Slab</c:v>
                </c:pt>
                <c:pt idx="16">
                  <c:v>Internal Plastering</c:v>
                </c:pt>
                <c:pt idx="17">
                  <c:v>Painting Works</c:v>
                </c:pt>
                <c:pt idx="18">
                  <c:v>PCC Work</c:v>
                </c:pt>
                <c:pt idx="19">
                  <c:v>Plinth Beam</c:v>
                </c:pt>
                <c:pt idx="20">
                  <c:v>Plumbing Works</c:v>
                </c:pt>
                <c:pt idx="21">
                  <c:v>Project Handover</c:v>
                </c:pt>
                <c:pt idx="22">
                  <c:v>Second Floor Columns</c:v>
                </c:pt>
                <c:pt idx="23">
                  <c:v>Second Floor Slab</c:v>
                </c:pt>
                <c:pt idx="24">
                  <c:v>Site Clearing</c:v>
                </c:pt>
              </c:strCache>
            </c:strRef>
          </c:cat>
          <c:val>
            <c:numRef>
              <c:f>Pivot_Cost!$B$4:$B$29</c:f>
              <c:numCache>
                <c:formatCode>"₹"\ #,##0.00</c:formatCode>
                <c:ptCount val="25"/>
                <c:pt idx="0">
                  <c:v>32000</c:v>
                </c:pt>
                <c:pt idx="1">
                  <c:v>0</c:v>
                </c:pt>
                <c:pt idx="2">
                  <c:v>0</c:v>
                </c:pt>
                <c:pt idx="3">
                  <c:v>52000</c:v>
                </c:pt>
                <c:pt idx="4">
                  <c:v>0</c:v>
                </c:pt>
                <c:pt idx="5">
                  <c:v>0</c:v>
                </c:pt>
                <c:pt idx="6">
                  <c:v>65000</c:v>
                </c:pt>
                <c:pt idx="7">
                  <c:v>0</c:v>
                </c:pt>
                <c:pt idx="8">
                  <c:v>0</c:v>
                </c:pt>
                <c:pt idx="9">
                  <c:v>148000</c:v>
                </c:pt>
                <c:pt idx="10">
                  <c:v>250000</c:v>
                </c:pt>
                <c:pt idx="11">
                  <c:v>0</c:v>
                </c:pt>
                <c:pt idx="12">
                  <c:v>82000</c:v>
                </c:pt>
                <c:pt idx="13">
                  <c:v>78000</c:v>
                </c:pt>
                <c:pt idx="14">
                  <c:v>145000</c:v>
                </c:pt>
                <c:pt idx="15">
                  <c:v>235000</c:v>
                </c:pt>
                <c:pt idx="16">
                  <c:v>0</c:v>
                </c:pt>
                <c:pt idx="17">
                  <c:v>0</c:v>
                </c:pt>
                <c:pt idx="18">
                  <c:v>42000</c:v>
                </c:pt>
                <c:pt idx="19">
                  <c:v>125000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6-4822-AD10-0C46AAF5774A}"/>
            </c:ext>
          </c:extLst>
        </c:ser>
        <c:ser>
          <c:idx val="1"/>
          <c:order val="1"/>
          <c:tx>
            <c:strRef>
              <c:f>Pivot_Cost!$C$3</c:f>
              <c:strCache>
                <c:ptCount val="1"/>
                <c:pt idx="0">
                  <c:v>Sum of Planned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Pivot_Cost!$A$4:$A$29</c:f>
              <c:strCache>
                <c:ptCount val="25"/>
                <c:pt idx="0">
                  <c:v>Backfilling</c:v>
                </c:pt>
                <c:pt idx="1">
                  <c:v>Brick Masonry FF</c:v>
                </c:pt>
                <c:pt idx="2">
                  <c:v>Brick Masonry GF</c:v>
                </c:pt>
                <c:pt idx="3">
                  <c:v>Column Starter Work</c:v>
                </c:pt>
                <c:pt idx="4">
                  <c:v>Doors &amp; Windows</c:v>
                </c:pt>
                <c:pt idx="5">
                  <c:v>Electrical Conduits</c:v>
                </c:pt>
                <c:pt idx="6">
                  <c:v>Excavation</c:v>
                </c:pt>
                <c:pt idx="7">
                  <c:v>External Plastering</c:v>
                </c:pt>
                <c:pt idx="8">
                  <c:v>Final Finishing</c:v>
                </c:pt>
                <c:pt idx="9">
                  <c:v>First Floor Columns</c:v>
                </c:pt>
                <c:pt idx="10">
                  <c:v>First Floor Slab</c:v>
                </c:pt>
                <c:pt idx="11">
                  <c:v>Flooring Works</c:v>
                </c:pt>
                <c:pt idx="12">
                  <c:v>Footing Concrete</c:v>
                </c:pt>
                <c:pt idx="13">
                  <c:v>Footing Reinforcement</c:v>
                </c:pt>
                <c:pt idx="14">
                  <c:v>Ground Floor Columns</c:v>
                </c:pt>
                <c:pt idx="15">
                  <c:v>Ground Floor Slab</c:v>
                </c:pt>
                <c:pt idx="16">
                  <c:v>Internal Plastering</c:v>
                </c:pt>
                <c:pt idx="17">
                  <c:v>Painting Works</c:v>
                </c:pt>
                <c:pt idx="18">
                  <c:v>PCC Work</c:v>
                </c:pt>
                <c:pt idx="19">
                  <c:v>Plinth Beam</c:v>
                </c:pt>
                <c:pt idx="20">
                  <c:v>Plumbing Works</c:v>
                </c:pt>
                <c:pt idx="21">
                  <c:v>Project Handover</c:v>
                </c:pt>
                <c:pt idx="22">
                  <c:v>Second Floor Columns</c:v>
                </c:pt>
                <c:pt idx="23">
                  <c:v>Second Floor Slab</c:v>
                </c:pt>
                <c:pt idx="24">
                  <c:v>Site Clearing</c:v>
                </c:pt>
              </c:strCache>
            </c:strRef>
          </c:cat>
          <c:val>
            <c:numRef>
              <c:f>Pivot_Cost!$C$4:$C$29</c:f>
              <c:numCache>
                <c:formatCode>"₹"\ #,##0.00</c:formatCode>
                <c:ptCount val="25"/>
                <c:pt idx="0">
                  <c:v>30000</c:v>
                </c:pt>
                <c:pt idx="1">
                  <c:v>115000</c:v>
                </c:pt>
                <c:pt idx="2">
                  <c:v>110000</c:v>
                </c:pt>
                <c:pt idx="3">
                  <c:v>50000</c:v>
                </c:pt>
                <c:pt idx="4">
                  <c:v>160000</c:v>
                </c:pt>
                <c:pt idx="5">
                  <c:v>80000</c:v>
                </c:pt>
                <c:pt idx="6">
                  <c:v>60000</c:v>
                </c:pt>
                <c:pt idx="7">
                  <c:v>105000</c:v>
                </c:pt>
                <c:pt idx="8">
                  <c:v>90000</c:v>
                </c:pt>
                <c:pt idx="9">
                  <c:v>150000</c:v>
                </c:pt>
                <c:pt idx="10">
                  <c:v>240000</c:v>
                </c:pt>
                <c:pt idx="11">
                  <c:v>180000</c:v>
                </c:pt>
                <c:pt idx="12">
                  <c:v>85000</c:v>
                </c:pt>
                <c:pt idx="13">
                  <c:v>75000</c:v>
                </c:pt>
                <c:pt idx="14">
                  <c:v>140000</c:v>
                </c:pt>
                <c:pt idx="15">
                  <c:v>220000</c:v>
                </c:pt>
                <c:pt idx="16">
                  <c:v>95000</c:v>
                </c:pt>
                <c:pt idx="17">
                  <c:v>130000</c:v>
                </c:pt>
                <c:pt idx="18">
                  <c:v>40000</c:v>
                </c:pt>
                <c:pt idx="19">
                  <c:v>120000</c:v>
                </c:pt>
                <c:pt idx="20">
                  <c:v>90000</c:v>
                </c:pt>
                <c:pt idx="21">
                  <c:v>20000</c:v>
                </c:pt>
                <c:pt idx="22">
                  <c:v>155000</c:v>
                </c:pt>
                <c:pt idx="23">
                  <c:v>245000</c:v>
                </c:pt>
                <c:pt idx="2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76-4822-AD10-0C46AAF57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528647"/>
        <c:axId val="1436530695"/>
      </c:barChart>
      <c:catAx>
        <c:axId val="1436528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30695"/>
        <c:crosses val="autoZero"/>
        <c:auto val="1"/>
        <c:lblAlgn val="ctr"/>
        <c:lblOffset val="100"/>
        <c:noMultiLvlLbl val="0"/>
      </c:catAx>
      <c:valAx>
        <c:axId val="143653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2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[Construction_Project_Dashboard.xlsx]Pivot_Status!PivotTable6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C00000"/>
          </a:solidFill>
          <a:ln w="19050">
            <a:solidFill>
              <a:srgbClr val="C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70AD47"/>
          </a:solidFill>
          <a:ln w="19050">
            <a:solidFill>
              <a:srgbClr val="70AD47"/>
            </a:solidFill>
            <a:prstDash val="solid"/>
          </a:ln>
          <a:effectLst/>
        </c:spPr>
      </c:pivotFmt>
      <c:pivotFmt>
        <c:idx val="18"/>
        <c:spPr>
          <a:solidFill>
            <a:srgbClr val="C00000"/>
          </a:solidFill>
          <a:ln w="19050">
            <a:solidFill>
              <a:srgbClr val="C00000"/>
            </a:solidFill>
            <a:prstDash val="solid"/>
          </a:ln>
          <a:effectLst/>
        </c:spPr>
      </c:pivotFmt>
      <c:pivotFmt>
        <c:idx val="19"/>
        <c:spPr>
          <a:solidFill>
            <a:srgbClr val="808080"/>
          </a:solidFill>
          <a:ln w="19050">
            <a:solidFill>
              <a:srgbClr val="808080"/>
            </a:solidFill>
            <a:prstDash val="solid"/>
          </a:ln>
          <a:effectLst/>
        </c:spPr>
      </c:pivotFmt>
      <c:pivotFmt>
        <c:idx val="20"/>
        <c:spPr>
          <a:solidFill>
            <a:srgbClr val="FFC000"/>
          </a:solidFill>
          <a:ln w="19050">
            <a:solidFill>
              <a:srgbClr val="FFC000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rgbClr val="70AD47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28-434F-970D-0EA6278E2B7C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rgbClr val="C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28-434F-970D-0EA6278E2B7C}"/>
              </c:ext>
            </c:extLst>
          </c:dPt>
          <c:dPt>
            <c:idx val="2"/>
            <c:bubble3D val="0"/>
            <c:spPr>
              <a:solidFill>
                <a:srgbClr val="808080"/>
              </a:solidFill>
              <a:ln w="19050">
                <a:solidFill>
                  <a:srgbClr val="80808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D28-434F-970D-0EA6278E2B7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rgbClr val="FFC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D28-434F-970D-0EA6278E2B7C}"/>
              </c:ext>
            </c:extLst>
          </c:dPt>
          <c:cat>
            <c:strRef>
              <c:f>Pivot_Status!$A$4:$A$8</c:f>
              <c:strCache>
                <c:ptCount val="4"/>
                <c:pt idx="0">
                  <c:v>Completed</c:v>
                </c:pt>
                <c:pt idx="1">
                  <c:v>Delayed</c:v>
                </c:pt>
                <c:pt idx="2">
                  <c:v>Not Started</c:v>
                </c:pt>
                <c:pt idx="3">
                  <c:v>Ongoing</c:v>
                </c:pt>
              </c:strCache>
            </c:strRef>
          </c:cat>
          <c:val>
            <c:numRef>
              <c:f>Pivot_Status!$B$4:$B$8</c:f>
              <c:numCache>
                <c:formatCode>General</c:formatCode>
                <c:ptCount val="4"/>
                <c:pt idx="0">
                  <c:v>12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28-434F-970D-0EA6278E2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[Construction_Project_Dashboard.xlsx]Pivot_Cost!PivotTable7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vs Actual Cost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Pivot_Cost!$B$3</c:f>
              <c:strCache>
                <c:ptCount val="1"/>
                <c:pt idx="0">
                  <c:v>Sum of Actual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Pivot_Cost!$A$4:$A$29</c:f>
              <c:strCache>
                <c:ptCount val="25"/>
                <c:pt idx="0">
                  <c:v>Backfilling</c:v>
                </c:pt>
                <c:pt idx="1">
                  <c:v>Brick Masonry FF</c:v>
                </c:pt>
                <c:pt idx="2">
                  <c:v>Brick Masonry GF</c:v>
                </c:pt>
                <c:pt idx="3">
                  <c:v>Column Starter Work</c:v>
                </c:pt>
                <c:pt idx="4">
                  <c:v>Doors &amp; Windows</c:v>
                </c:pt>
                <c:pt idx="5">
                  <c:v>Electrical Conduits</c:v>
                </c:pt>
                <c:pt idx="6">
                  <c:v>Excavation</c:v>
                </c:pt>
                <c:pt idx="7">
                  <c:v>External Plastering</c:v>
                </c:pt>
                <c:pt idx="8">
                  <c:v>Final Finishing</c:v>
                </c:pt>
                <c:pt idx="9">
                  <c:v>First Floor Columns</c:v>
                </c:pt>
                <c:pt idx="10">
                  <c:v>First Floor Slab</c:v>
                </c:pt>
                <c:pt idx="11">
                  <c:v>Flooring Works</c:v>
                </c:pt>
                <c:pt idx="12">
                  <c:v>Footing Concrete</c:v>
                </c:pt>
                <c:pt idx="13">
                  <c:v>Footing Reinforcement</c:v>
                </c:pt>
                <c:pt idx="14">
                  <c:v>Ground Floor Columns</c:v>
                </c:pt>
                <c:pt idx="15">
                  <c:v>Ground Floor Slab</c:v>
                </c:pt>
                <c:pt idx="16">
                  <c:v>Internal Plastering</c:v>
                </c:pt>
                <c:pt idx="17">
                  <c:v>Painting Works</c:v>
                </c:pt>
                <c:pt idx="18">
                  <c:v>PCC Work</c:v>
                </c:pt>
                <c:pt idx="19">
                  <c:v>Plinth Beam</c:v>
                </c:pt>
                <c:pt idx="20">
                  <c:v>Plumbing Works</c:v>
                </c:pt>
                <c:pt idx="21">
                  <c:v>Project Handover</c:v>
                </c:pt>
                <c:pt idx="22">
                  <c:v>Second Floor Columns</c:v>
                </c:pt>
                <c:pt idx="23">
                  <c:v>Second Floor Slab</c:v>
                </c:pt>
                <c:pt idx="24">
                  <c:v>Site Clearing</c:v>
                </c:pt>
              </c:strCache>
            </c:strRef>
          </c:cat>
          <c:val>
            <c:numRef>
              <c:f>Pivot_Cost!$B$4:$B$29</c:f>
              <c:numCache>
                <c:formatCode>"₹"\ #,##0.00</c:formatCode>
                <c:ptCount val="25"/>
                <c:pt idx="0">
                  <c:v>32000</c:v>
                </c:pt>
                <c:pt idx="1">
                  <c:v>0</c:v>
                </c:pt>
                <c:pt idx="2">
                  <c:v>0</c:v>
                </c:pt>
                <c:pt idx="3">
                  <c:v>52000</c:v>
                </c:pt>
                <c:pt idx="4">
                  <c:v>0</c:v>
                </c:pt>
                <c:pt idx="5">
                  <c:v>0</c:v>
                </c:pt>
                <c:pt idx="6">
                  <c:v>65000</c:v>
                </c:pt>
                <c:pt idx="7">
                  <c:v>0</c:v>
                </c:pt>
                <c:pt idx="8">
                  <c:v>0</c:v>
                </c:pt>
                <c:pt idx="9">
                  <c:v>148000</c:v>
                </c:pt>
                <c:pt idx="10">
                  <c:v>250000</c:v>
                </c:pt>
                <c:pt idx="11">
                  <c:v>0</c:v>
                </c:pt>
                <c:pt idx="12">
                  <c:v>82000</c:v>
                </c:pt>
                <c:pt idx="13">
                  <c:v>78000</c:v>
                </c:pt>
                <c:pt idx="14">
                  <c:v>145000</c:v>
                </c:pt>
                <c:pt idx="15">
                  <c:v>235000</c:v>
                </c:pt>
                <c:pt idx="16">
                  <c:v>0</c:v>
                </c:pt>
                <c:pt idx="17">
                  <c:v>0</c:v>
                </c:pt>
                <c:pt idx="18">
                  <c:v>42000</c:v>
                </c:pt>
                <c:pt idx="19">
                  <c:v>125000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4-4237-8D42-12DC9738BBA1}"/>
            </c:ext>
          </c:extLst>
        </c:ser>
        <c:ser>
          <c:idx val="1"/>
          <c:order val="1"/>
          <c:tx>
            <c:strRef>
              <c:f>Pivot_Cost!$C$3</c:f>
              <c:strCache>
                <c:ptCount val="1"/>
                <c:pt idx="0">
                  <c:v>Sum of Planned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Pivot_Cost!$A$4:$A$29</c:f>
              <c:strCache>
                <c:ptCount val="25"/>
                <c:pt idx="0">
                  <c:v>Backfilling</c:v>
                </c:pt>
                <c:pt idx="1">
                  <c:v>Brick Masonry FF</c:v>
                </c:pt>
                <c:pt idx="2">
                  <c:v>Brick Masonry GF</c:v>
                </c:pt>
                <c:pt idx="3">
                  <c:v>Column Starter Work</c:v>
                </c:pt>
                <c:pt idx="4">
                  <c:v>Doors &amp; Windows</c:v>
                </c:pt>
                <c:pt idx="5">
                  <c:v>Electrical Conduits</c:v>
                </c:pt>
                <c:pt idx="6">
                  <c:v>Excavation</c:v>
                </c:pt>
                <c:pt idx="7">
                  <c:v>External Plastering</c:v>
                </c:pt>
                <c:pt idx="8">
                  <c:v>Final Finishing</c:v>
                </c:pt>
                <c:pt idx="9">
                  <c:v>First Floor Columns</c:v>
                </c:pt>
                <c:pt idx="10">
                  <c:v>First Floor Slab</c:v>
                </c:pt>
                <c:pt idx="11">
                  <c:v>Flooring Works</c:v>
                </c:pt>
                <c:pt idx="12">
                  <c:v>Footing Concrete</c:v>
                </c:pt>
                <c:pt idx="13">
                  <c:v>Footing Reinforcement</c:v>
                </c:pt>
                <c:pt idx="14">
                  <c:v>Ground Floor Columns</c:v>
                </c:pt>
                <c:pt idx="15">
                  <c:v>Ground Floor Slab</c:v>
                </c:pt>
                <c:pt idx="16">
                  <c:v>Internal Plastering</c:v>
                </c:pt>
                <c:pt idx="17">
                  <c:v>Painting Works</c:v>
                </c:pt>
                <c:pt idx="18">
                  <c:v>PCC Work</c:v>
                </c:pt>
                <c:pt idx="19">
                  <c:v>Plinth Beam</c:v>
                </c:pt>
                <c:pt idx="20">
                  <c:v>Plumbing Works</c:v>
                </c:pt>
                <c:pt idx="21">
                  <c:v>Project Handover</c:v>
                </c:pt>
                <c:pt idx="22">
                  <c:v>Second Floor Columns</c:v>
                </c:pt>
                <c:pt idx="23">
                  <c:v>Second Floor Slab</c:v>
                </c:pt>
                <c:pt idx="24">
                  <c:v>Site Clearing</c:v>
                </c:pt>
              </c:strCache>
            </c:strRef>
          </c:cat>
          <c:val>
            <c:numRef>
              <c:f>Pivot_Cost!$C$4:$C$29</c:f>
              <c:numCache>
                <c:formatCode>"₹"\ #,##0.00</c:formatCode>
                <c:ptCount val="25"/>
                <c:pt idx="0">
                  <c:v>30000</c:v>
                </c:pt>
                <c:pt idx="1">
                  <c:v>115000</c:v>
                </c:pt>
                <c:pt idx="2">
                  <c:v>110000</c:v>
                </c:pt>
                <c:pt idx="3">
                  <c:v>50000</c:v>
                </c:pt>
                <c:pt idx="4">
                  <c:v>160000</c:v>
                </c:pt>
                <c:pt idx="5">
                  <c:v>80000</c:v>
                </c:pt>
                <c:pt idx="6">
                  <c:v>60000</c:v>
                </c:pt>
                <c:pt idx="7">
                  <c:v>105000</c:v>
                </c:pt>
                <c:pt idx="8">
                  <c:v>90000</c:v>
                </c:pt>
                <c:pt idx="9">
                  <c:v>150000</c:v>
                </c:pt>
                <c:pt idx="10">
                  <c:v>240000</c:v>
                </c:pt>
                <c:pt idx="11">
                  <c:v>180000</c:v>
                </c:pt>
                <c:pt idx="12">
                  <c:v>85000</c:v>
                </c:pt>
                <c:pt idx="13">
                  <c:v>75000</c:v>
                </c:pt>
                <c:pt idx="14">
                  <c:v>140000</c:v>
                </c:pt>
                <c:pt idx="15">
                  <c:v>220000</c:v>
                </c:pt>
                <c:pt idx="16">
                  <c:v>95000</c:v>
                </c:pt>
                <c:pt idx="17">
                  <c:v>130000</c:v>
                </c:pt>
                <c:pt idx="18">
                  <c:v>40000</c:v>
                </c:pt>
                <c:pt idx="19">
                  <c:v>120000</c:v>
                </c:pt>
                <c:pt idx="20">
                  <c:v>90000</c:v>
                </c:pt>
                <c:pt idx="21">
                  <c:v>20000</c:v>
                </c:pt>
                <c:pt idx="22">
                  <c:v>155000</c:v>
                </c:pt>
                <c:pt idx="23">
                  <c:v>245000</c:v>
                </c:pt>
                <c:pt idx="2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4-4237-8D42-12DC9738B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528647"/>
        <c:axId val="1436530695"/>
      </c:barChart>
      <c:catAx>
        <c:axId val="1436528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30695"/>
        <c:crosses val="autoZero"/>
        <c:auto val="1"/>
        <c:lblAlgn val="ctr"/>
        <c:lblOffset val="100"/>
        <c:noMultiLvlLbl val="0"/>
      </c:catAx>
      <c:valAx>
        <c:axId val="143653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2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6</xdr:row>
      <xdr:rowOff>57150</xdr:rowOff>
    </xdr:from>
    <xdr:to>
      <xdr:col>13</xdr:col>
      <xdr:colOff>428625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034D3D-5311-72E1-966B-CDF8CA622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7</xdr:row>
      <xdr:rowOff>28575</xdr:rowOff>
    </xdr:from>
    <xdr:to>
      <xdr:col>11</xdr:col>
      <xdr:colOff>561975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D65EE4-8E07-A583-262E-D17635F26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133350</xdr:rowOff>
    </xdr:from>
    <xdr:to>
      <xdr:col>4</xdr:col>
      <xdr:colOff>600075</xdr:colOff>
      <xdr:row>17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092832-05E7-40DD-8A76-4FDC600E7FD0}"/>
            </a:ext>
            <a:ext uri="{147F2762-F138-4A5C-976F-8EAC2B608ADB}">
              <a16:predDERef xmlns:a16="http://schemas.microsoft.com/office/drawing/2014/main" pred="{3C531E43-1B6E-428A-BB14-0232CBAAE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600075</xdr:colOff>
      <xdr:row>6</xdr:row>
      <xdr:rowOff>152400</xdr:rowOff>
    </xdr:from>
    <xdr:to>
      <xdr:col>10</xdr:col>
      <xdr:colOff>0</xdr:colOff>
      <xdr:row>17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D2A3FF-9FFD-4C65-BE6B-19B34DCF6DC5}"/>
            </a:ext>
            <a:ext uri="{147F2762-F138-4A5C-976F-8EAC2B608ADB}">
              <a16:predDERef xmlns:a16="http://schemas.microsoft.com/office/drawing/2014/main" pred="{AB092832-05E7-40DD-8A76-4FDC600E7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3.594474421297" createdVersion="8" refreshedVersion="8" minRefreshableVersion="3" recordCount="25" xr:uid="{3D4CD01C-4AD9-4EE3-BCE4-52B23DE1BAC1}">
  <cacheSource type="worksheet">
    <worksheetSource ref="A1:J26" sheet="Project_Data"/>
  </cacheSource>
  <cacheFields count="10">
    <cacheField name="Task ID" numFmtId="0">
      <sharedItems containsSemiMixedTypes="0" containsString="0" containsNumber="1" containsInteger="1" minValue="1" maxValue="25"/>
    </cacheField>
    <cacheField name="Activity" numFmtId="0">
      <sharedItems count="25">
        <s v="Site Clearing"/>
        <s v="Excavation"/>
        <s v="PCC Work"/>
        <s v="Footing Reinforcement"/>
        <s v="Footing Concrete"/>
        <s v="Column Starter Work"/>
        <s v="Plinth Beam"/>
        <s v="Backfilling"/>
        <s v="Ground Floor Columns"/>
        <s v="Ground Floor Slab"/>
        <s v="First Floor Columns"/>
        <s v="First Floor Slab"/>
        <s v="Second Floor Columns"/>
        <s v="Second Floor Slab"/>
        <s v="Brick Masonry GF"/>
        <s v="Brick Masonry FF"/>
        <s v="Internal Plastering"/>
        <s v="External Plastering"/>
        <s v="Electrical Conduits"/>
        <s v="Plumbing Works"/>
        <s v="Flooring Works"/>
        <s v="Painting Works"/>
        <s v="Doors &amp; Windows"/>
        <s v="Final Finishing"/>
        <s v="Project Handover"/>
      </sharedItems>
    </cacheField>
    <cacheField name="Start Date" numFmtId="14">
      <sharedItems containsSemiMixedTypes="0" containsNonDate="0" containsDate="1" containsString="0" minDate="2026-06-01T00:00:00" maxDate="2026-11-17T00:00:00"/>
    </cacheField>
    <cacheField name="End Data" numFmtId="14">
      <sharedItems containsSemiMixedTypes="0" containsNonDate="0" containsDate="1" containsString="0" minDate="2026-06-03T00:00:00" maxDate="2026-11-19T00:00:00"/>
    </cacheField>
    <cacheField name="Planned Cost" numFmtId="164">
      <sharedItems containsSemiMixedTypes="0" containsString="0" containsNumber="1" containsInteger="1" minValue="20000" maxValue="245000"/>
    </cacheField>
    <cacheField name="Actual Cost" numFmtId="164">
      <sharedItems containsSemiMixedTypes="0" containsString="0" containsNumber="1" containsInteger="1" minValue="0" maxValue="250000"/>
    </cacheField>
    <cacheField name="Planned(%)" numFmtId="0">
      <sharedItems containsSemiMixedTypes="0" containsString="0" containsNumber="1" containsInteger="1" minValue="0" maxValue="100"/>
    </cacheField>
    <cacheField name="Actual%" numFmtId="0">
      <sharedItems containsSemiMixedTypes="0" containsString="0" containsNumber="1" containsInteger="1" minValue="0" maxValue="100"/>
    </cacheField>
    <cacheField name="Status" numFmtId="0">
      <sharedItems count="4">
        <s v="Completed"/>
        <s v="Ongoing"/>
        <s v="Delayed"/>
        <s v="Not Started"/>
      </sharedItems>
    </cacheField>
    <cacheField name="Duration(days)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x v="0"/>
    <d v="2026-06-01T00:00:00"/>
    <d v="2026-06-03T00:00:00"/>
    <n v="25000"/>
    <n v="23000"/>
    <n v="100"/>
    <n v="100"/>
    <x v="0"/>
    <n v="3"/>
  </r>
  <r>
    <n v="2"/>
    <x v="1"/>
    <d v="2026-06-04T00:00:00"/>
    <d v="2026-06-08T00:00:00"/>
    <n v="60000"/>
    <n v="65000"/>
    <n v="100"/>
    <n v="100"/>
    <x v="0"/>
    <n v="5"/>
  </r>
  <r>
    <n v="3"/>
    <x v="2"/>
    <d v="2026-06-09T00:00:00"/>
    <d v="2026-06-11T00:00:00"/>
    <n v="40000"/>
    <n v="42000"/>
    <n v="100"/>
    <n v="100"/>
    <x v="0"/>
    <n v="3"/>
  </r>
  <r>
    <n v="4"/>
    <x v="3"/>
    <d v="2026-06-12T00:00:00"/>
    <d v="2026-06-15T00:00:00"/>
    <n v="75000"/>
    <n v="78000"/>
    <n v="100"/>
    <n v="100"/>
    <x v="0"/>
    <n v="4"/>
  </r>
  <r>
    <n v="5"/>
    <x v="4"/>
    <d v="2026-06-16T00:00:00"/>
    <d v="2026-06-18T00:00:00"/>
    <n v="85000"/>
    <n v="82000"/>
    <n v="100"/>
    <n v="100"/>
    <x v="0"/>
    <n v="3"/>
  </r>
  <r>
    <n v="6"/>
    <x v="5"/>
    <d v="2026-06-19T00:00:00"/>
    <d v="2026-06-21T00:00:00"/>
    <n v="50000"/>
    <n v="52000"/>
    <n v="100"/>
    <n v="100"/>
    <x v="0"/>
    <n v="3"/>
  </r>
  <r>
    <n v="7"/>
    <x v="6"/>
    <d v="2026-06-22T00:00:00"/>
    <d v="2026-06-26T00:00:00"/>
    <n v="120000"/>
    <n v="125000"/>
    <n v="100"/>
    <n v="100"/>
    <x v="0"/>
    <n v="5"/>
  </r>
  <r>
    <n v="8"/>
    <x v="7"/>
    <d v="2026-06-27T00:00:00"/>
    <d v="2026-06-29T00:00:00"/>
    <n v="30000"/>
    <n v="32000"/>
    <n v="100"/>
    <n v="100"/>
    <x v="0"/>
    <n v="3"/>
  </r>
  <r>
    <n v="9"/>
    <x v="8"/>
    <d v="2026-06-30T00:00:00"/>
    <d v="2026-07-05T00:00:00"/>
    <n v="140000"/>
    <n v="145000"/>
    <n v="100"/>
    <n v="100"/>
    <x v="0"/>
    <n v="6"/>
  </r>
  <r>
    <n v="10"/>
    <x v="9"/>
    <d v="2026-07-06T00:00:00"/>
    <d v="2026-07-15T00:00:00"/>
    <n v="220000"/>
    <n v="235000"/>
    <n v="100"/>
    <n v="100"/>
    <x v="0"/>
    <n v="10"/>
  </r>
  <r>
    <n v="11"/>
    <x v="10"/>
    <d v="2026-07-16T00:00:00"/>
    <d v="2026-07-20T00:00:00"/>
    <n v="150000"/>
    <n v="148000"/>
    <n v="100"/>
    <n v="100"/>
    <x v="0"/>
    <n v="5"/>
  </r>
  <r>
    <n v="12"/>
    <x v="11"/>
    <d v="2026-07-21T00:00:00"/>
    <d v="2026-07-31T00:00:00"/>
    <n v="240000"/>
    <n v="250000"/>
    <n v="100"/>
    <n v="100"/>
    <x v="0"/>
    <n v="11"/>
  </r>
  <r>
    <n v="13"/>
    <x v="12"/>
    <d v="2026-08-01T00:00:00"/>
    <d v="2026-08-05T00:00:00"/>
    <n v="155000"/>
    <n v="0"/>
    <n v="80"/>
    <n v="75"/>
    <x v="1"/>
    <n v="5"/>
  </r>
  <r>
    <n v="14"/>
    <x v="13"/>
    <d v="2026-08-06T00:00:00"/>
    <d v="2026-08-15T00:00:00"/>
    <n v="245000"/>
    <n v="0"/>
    <n v="60"/>
    <n v="45"/>
    <x v="2"/>
    <n v="10"/>
  </r>
  <r>
    <n v="15"/>
    <x v="14"/>
    <d v="2026-08-16T00:00:00"/>
    <d v="2026-08-25T00:00:00"/>
    <n v="110000"/>
    <n v="0"/>
    <n v="70"/>
    <n v="60"/>
    <x v="2"/>
    <n v="10"/>
  </r>
  <r>
    <n v="16"/>
    <x v="15"/>
    <d v="2026-08-26T00:00:00"/>
    <d v="2026-09-05T00:00:00"/>
    <n v="115000"/>
    <n v="0"/>
    <n v="50"/>
    <n v="35"/>
    <x v="2"/>
    <n v="11"/>
  </r>
  <r>
    <n v="17"/>
    <x v="16"/>
    <d v="2026-09-06T00:00:00"/>
    <d v="2026-09-15T00:00:00"/>
    <n v="95000"/>
    <n v="0"/>
    <n v="30"/>
    <n v="20"/>
    <x v="1"/>
    <n v="10"/>
  </r>
  <r>
    <n v="18"/>
    <x v="17"/>
    <d v="2026-09-16T00:00:00"/>
    <d v="2026-09-25T00:00:00"/>
    <n v="105000"/>
    <n v="0"/>
    <n v="15"/>
    <n v="10"/>
    <x v="1"/>
    <n v="10"/>
  </r>
  <r>
    <n v="19"/>
    <x v="18"/>
    <d v="2026-09-26T00:00:00"/>
    <d v="2026-09-30T00:00:00"/>
    <n v="80000"/>
    <n v="0"/>
    <n v="0"/>
    <n v="0"/>
    <x v="3"/>
    <n v="5"/>
  </r>
  <r>
    <n v="20"/>
    <x v="19"/>
    <d v="2026-10-01T00:00:00"/>
    <d v="2026-10-07T00:00:00"/>
    <n v="90000"/>
    <n v="0"/>
    <n v="0"/>
    <n v="0"/>
    <x v="3"/>
    <n v="7"/>
  </r>
  <r>
    <n v="21"/>
    <x v="20"/>
    <d v="2026-10-08T00:00:00"/>
    <d v="2026-10-18T00:00:00"/>
    <n v="180000"/>
    <n v="0"/>
    <n v="0"/>
    <n v="0"/>
    <x v="3"/>
    <n v="11"/>
  </r>
  <r>
    <n v="22"/>
    <x v="21"/>
    <d v="2026-10-19T00:00:00"/>
    <d v="2026-10-30T00:00:00"/>
    <n v="130000"/>
    <n v="0"/>
    <n v="0"/>
    <n v="0"/>
    <x v="3"/>
    <n v="12"/>
  </r>
  <r>
    <n v="23"/>
    <x v="22"/>
    <d v="2026-11-01T00:00:00"/>
    <d v="2026-11-07T00:00:00"/>
    <n v="160000"/>
    <n v="0"/>
    <n v="0"/>
    <n v="0"/>
    <x v="3"/>
    <n v="7"/>
  </r>
  <r>
    <n v="24"/>
    <x v="23"/>
    <d v="2026-11-08T00:00:00"/>
    <d v="2026-11-15T00:00:00"/>
    <n v="90000"/>
    <n v="0"/>
    <n v="0"/>
    <n v="0"/>
    <x v="3"/>
    <n v="8"/>
  </r>
  <r>
    <n v="25"/>
    <x v="24"/>
    <d v="2026-11-16T00:00:00"/>
    <d v="2026-11-18T00:00:00"/>
    <n v="20000"/>
    <n v="0"/>
    <n v="0"/>
    <n v="0"/>
    <x v="3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4A86F-CDFF-4D19-9801-BA9CA537F9C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8" firstHeaderRow="1" firstDataRow="1" firstDataCol="1"/>
  <pivotFields count="10">
    <pivotField dataField="1" compact="0" outline="0" showAll="0"/>
    <pivotField compact="0" outline="0" showAll="0"/>
    <pivotField compact="0" numFmtId="14" outline="0" showAll="0"/>
    <pivotField compact="0" numFmtId="1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ask ID" fld="0" subtotal="count" baseField="0" baseItem="0"/>
  </dataFields>
  <formats count="15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8" type="button" dataOnly="0" labelOnly="1" outline="0" axis="axisRow" fieldPosition="0"/>
    </format>
    <format dxfId="19">
      <pivotArea dataOnly="0" labelOnly="1" outline="0" fieldPosition="0">
        <references count="1">
          <reference field="8" count="0"/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  <format dxfId="22">
      <pivotArea outline="0" collapsedLevelsAreSubtotals="1" fieldPosition="0"/>
    </format>
    <format dxfId="23">
      <pivotArea dataOnly="0" labelOnly="1" outline="0" fieldPosition="0">
        <references count="1">
          <reference field="8" count="0"/>
        </references>
      </pivotArea>
    </format>
    <format dxfId="24">
      <pivotArea dataOnly="0" labelOnly="1" grandRow="1" outline="0" fieldPosition="0"/>
    </format>
    <format dxfId="25">
      <pivotArea outline="0" collapsedLevelsAreSubtotals="1" fieldPosition="0"/>
    </format>
    <format dxfId="26">
      <pivotArea dataOnly="0" labelOnly="1" outline="0" fieldPosition="0">
        <references count="1">
          <reference field="8" count="0"/>
        </references>
      </pivotArea>
    </format>
    <format dxfId="27">
      <pivotArea dataOnly="0" labelOnly="1" grandRow="1" outline="0" fieldPosition="0"/>
    </format>
    <format dxfId="28">
      <pivotArea outline="0" collapsedLevelsAreSubtotals="1" fieldPosition="0"/>
    </format>
    <format dxfId="29">
      <pivotArea dataOnly="0" labelOnly="1" outline="0" fieldPosition="0">
        <references count="1">
          <reference field="8" count="0"/>
        </references>
      </pivotArea>
    </format>
    <format dxfId="30">
      <pivotArea dataOnly="0" labelOnly="1" grandRow="1" outline="0" fieldPosition="0"/>
    </format>
  </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E79BF-54DB-43F0-B62F-69983E79282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29" firstHeaderRow="0" firstDataRow="1" firstDataCol="1"/>
  <pivotFields count="10">
    <pivotField compact="0" outline="0" showAll="0"/>
    <pivotField axis="axisRow" compact="0" outline="0" showAll="0">
      <items count="26">
        <item x="7"/>
        <item x="15"/>
        <item x="14"/>
        <item x="5"/>
        <item x="22"/>
        <item x="18"/>
        <item x="1"/>
        <item x="17"/>
        <item x="23"/>
        <item x="10"/>
        <item x="11"/>
        <item x="20"/>
        <item x="4"/>
        <item x="3"/>
        <item x="8"/>
        <item x="9"/>
        <item x="16"/>
        <item x="21"/>
        <item x="2"/>
        <item x="6"/>
        <item x="19"/>
        <item x="24"/>
        <item x="12"/>
        <item x="13"/>
        <item x="0"/>
        <item t="default"/>
      </items>
    </pivotField>
    <pivotField compact="0" numFmtId="14" outline="0" showAll="0"/>
    <pivotField compact="0" numFmtId="14" outline="0" showAll="0"/>
    <pivotField dataField="1"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Cost" fld="5" baseField="0" baseItem="0" numFmtId="164"/>
    <dataField name="Sum of Planned Cost" fld="4" baseField="0" baseItem="0" numFmtId="164"/>
  </dataFields>
  <formats count="16">
    <format dxfId="0">
      <pivotArea outline="0" collapsedLevelsAreSubtotals="1" fieldPosition="0"/>
    </format>
    <format dxfId="1">
      <pivotArea dataOnly="0" labelOnly="1" outline="0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3">
      <pivotArea outline="0" collapsedLevelsAreSubtotals="1" fieldPosition="0"/>
    </format>
    <format dxfId="4">
      <pivotArea dataOnly="0" labelOnly="1" outline="0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6">
      <pivotArea outline="0" collapsedLevelsAreSubtotals="1" fieldPosition="0"/>
    </format>
    <format dxfId="7">
      <pivotArea dataOnly="0" labelOnly="1" outline="0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9">
      <pivotArea field="1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3">
      <pivotArea outline="0" collapsedLevelsAreSubtotals="1" fieldPosition="0"/>
    </format>
    <format dxfId="14">
      <pivotArea dataOnly="0" labelOnly="1" outline="0" fieldPosition="0">
        <references count="1">
          <reference field="1" count="0"/>
        </references>
      </pivotArea>
    </format>
    <format dxfId="15">
      <pivotArea dataOnly="0" labelOnly="1" grandRow="1" outline="0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tabSelected="1" workbookViewId="0">
      <selection activeCell="E27" sqref="E27"/>
    </sheetView>
  </sheetViews>
  <sheetFormatPr defaultRowHeight="15"/>
  <cols>
    <col min="1" max="1" width="17.85546875" customWidth="1"/>
    <col min="2" max="2" width="22.85546875" customWidth="1"/>
    <col min="3" max="3" width="11.85546875" customWidth="1"/>
    <col min="4" max="4" width="11.28515625" customWidth="1"/>
    <col min="5" max="5" width="12.7109375" bestFit="1" customWidth="1"/>
    <col min="6" max="6" width="12.7109375" style="5" bestFit="1" customWidth="1"/>
    <col min="7" max="7" width="10.7109375" bestFit="1" customWidth="1"/>
    <col min="9" max="9" width="13" customWidth="1"/>
    <col min="10" max="10" width="14" customWidth="1"/>
  </cols>
  <sheetData>
    <row r="1" spans="1:10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3" t="s">
        <v>8</v>
      </c>
      <c r="J1" s="7" t="s">
        <v>9</v>
      </c>
    </row>
    <row r="2" spans="1:10">
      <c r="A2" s="20">
        <v>1</v>
      </c>
      <c r="B2" s="20" t="s">
        <v>10</v>
      </c>
      <c r="C2" s="8">
        <v>46174</v>
      </c>
      <c r="D2" s="8">
        <v>46176</v>
      </c>
      <c r="E2" s="9">
        <v>25000</v>
      </c>
      <c r="F2" s="9">
        <v>23000</v>
      </c>
      <c r="G2" s="20">
        <v>100</v>
      </c>
      <c r="H2" s="20">
        <v>100</v>
      </c>
      <c r="I2" s="20" t="s">
        <v>11</v>
      </c>
      <c r="J2" s="20">
        <f>D2-C2+1</f>
        <v>3</v>
      </c>
    </row>
    <row r="3" spans="1:10">
      <c r="A3" s="20">
        <v>2</v>
      </c>
      <c r="B3" s="20" t="s">
        <v>12</v>
      </c>
      <c r="C3" s="8">
        <v>46177</v>
      </c>
      <c r="D3" s="8">
        <v>46181</v>
      </c>
      <c r="E3" s="9">
        <v>60000</v>
      </c>
      <c r="F3" s="9">
        <v>65000</v>
      </c>
      <c r="G3" s="20">
        <v>100</v>
      </c>
      <c r="H3" s="20">
        <v>100</v>
      </c>
      <c r="I3" s="20" t="s">
        <v>11</v>
      </c>
      <c r="J3" s="20">
        <f t="shared" ref="J3:J26" si="0">D3-C3+1</f>
        <v>5</v>
      </c>
    </row>
    <row r="4" spans="1:10">
      <c r="A4" s="20">
        <v>3</v>
      </c>
      <c r="B4" s="20" t="s">
        <v>13</v>
      </c>
      <c r="C4" s="8">
        <v>46182</v>
      </c>
      <c r="D4" s="8">
        <v>46184</v>
      </c>
      <c r="E4" s="9">
        <v>40000</v>
      </c>
      <c r="F4" s="9">
        <v>42000</v>
      </c>
      <c r="G4" s="20">
        <v>100</v>
      </c>
      <c r="H4" s="20">
        <v>100</v>
      </c>
      <c r="I4" s="20" t="s">
        <v>11</v>
      </c>
      <c r="J4" s="20">
        <f t="shared" si="0"/>
        <v>3</v>
      </c>
    </row>
    <row r="5" spans="1:10">
      <c r="A5" s="20">
        <v>4</v>
      </c>
      <c r="B5" s="20" t="s">
        <v>14</v>
      </c>
      <c r="C5" s="8">
        <v>46185</v>
      </c>
      <c r="D5" s="8">
        <v>46188</v>
      </c>
      <c r="E5" s="9">
        <v>75000</v>
      </c>
      <c r="F5" s="9">
        <v>78000</v>
      </c>
      <c r="G5" s="20">
        <v>100</v>
      </c>
      <c r="H5" s="20">
        <v>100</v>
      </c>
      <c r="I5" s="20" t="s">
        <v>11</v>
      </c>
      <c r="J5" s="20">
        <f t="shared" si="0"/>
        <v>4</v>
      </c>
    </row>
    <row r="6" spans="1:10">
      <c r="A6" s="20">
        <v>5</v>
      </c>
      <c r="B6" s="20" t="s">
        <v>15</v>
      </c>
      <c r="C6" s="8">
        <v>46189</v>
      </c>
      <c r="D6" s="8">
        <v>46191</v>
      </c>
      <c r="E6" s="9">
        <v>85000</v>
      </c>
      <c r="F6" s="9">
        <v>82000</v>
      </c>
      <c r="G6" s="20">
        <v>100</v>
      </c>
      <c r="H6" s="20">
        <v>100</v>
      </c>
      <c r="I6" s="20" t="s">
        <v>11</v>
      </c>
      <c r="J6" s="20">
        <f t="shared" si="0"/>
        <v>3</v>
      </c>
    </row>
    <row r="7" spans="1:10">
      <c r="A7" s="20">
        <v>6</v>
      </c>
      <c r="B7" s="20" t="s">
        <v>16</v>
      </c>
      <c r="C7" s="8">
        <v>46192</v>
      </c>
      <c r="D7" s="8">
        <v>46194</v>
      </c>
      <c r="E7" s="9">
        <v>50000</v>
      </c>
      <c r="F7" s="9">
        <v>52000</v>
      </c>
      <c r="G7" s="20">
        <v>100</v>
      </c>
      <c r="H7" s="20">
        <v>100</v>
      </c>
      <c r="I7" s="20" t="s">
        <v>11</v>
      </c>
      <c r="J7" s="20">
        <f t="shared" si="0"/>
        <v>3</v>
      </c>
    </row>
    <row r="8" spans="1:10">
      <c r="A8" s="20">
        <v>7</v>
      </c>
      <c r="B8" s="20" t="s">
        <v>17</v>
      </c>
      <c r="C8" s="8">
        <v>46195</v>
      </c>
      <c r="D8" s="8">
        <v>46199</v>
      </c>
      <c r="E8" s="9">
        <v>120000</v>
      </c>
      <c r="F8" s="9">
        <v>125000</v>
      </c>
      <c r="G8" s="20">
        <v>100</v>
      </c>
      <c r="H8" s="20">
        <v>100</v>
      </c>
      <c r="I8" s="20" t="s">
        <v>11</v>
      </c>
      <c r="J8" s="20">
        <f t="shared" si="0"/>
        <v>5</v>
      </c>
    </row>
    <row r="9" spans="1:10">
      <c r="A9" s="20">
        <v>8</v>
      </c>
      <c r="B9" s="20" t="s">
        <v>18</v>
      </c>
      <c r="C9" s="8">
        <v>46200</v>
      </c>
      <c r="D9" s="8">
        <v>46202</v>
      </c>
      <c r="E9" s="9">
        <v>30000</v>
      </c>
      <c r="F9" s="9">
        <v>32000</v>
      </c>
      <c r="G9" s="20">
        <v>100</v>
      </c>
      <c r="H9" s="20">
        <v>100</v>
      </c>
      <c r="I9" s="20" t="s">
        <v>11</v>
      </c>
      <c r="J9" s="20">
        <f t="shared" si="0"/>
        <v>3</v>
      </c>
    </row>
    <row r="10" spans="1:10">
      <c r="A10" s="20">
        <v>9</v>
      </c>
      <c r="B10" s="20" t="s">
        <v>19</v>
      </c>
      <c r="C10" s="8">
        <v>46203</v>
      </c>
      <c r="D10" s="8">
        <v>46208</v>
      </c>
      <c r="E10" s="9">
        <v>140000</v>
      </c>
      <c r="F10" s="9">
        <v>145000</v>
      </c>
      <c r="G10" s="20">
        <v>100</v>
      </c>
      <c r="H10" s="20">
        <v>100</v>
      </c>
      <c r="I10" s="20" t="s">
        <v>11</v>
      </c>
      <c r="J10" s="20">
        <f t="shared" si="0"/>
        <v>6</v>
      </c>
    </row>
    <row r="11" spans="1:10">
      <c r="A11" s="20">
        <v>10</v>
      </c>
      <c r="B11" s="20" t="s">
        <v>20</v>
      </c>
      <c r="C11" s="8">
        <v>46209</v>
      </c>
      <c r="D11" s="8">
        <v>46218</v>
      </c>
      <c r="E11" s="9">
        <v>220000</v>
      </c>
      <c r="F11" s="9">
        <v>235000</v>
      </c>
      <c r="G11" s="20">
        <v>100</v>
      </c>
      <c r="H11" s="20">
        <v>100</v>
      </c>
      <c r="I11" s="20" t="s">
        <v>11</v>
      </c>
      <c r="J11" s="20">
        <f t="shared" si="0"/>
        <v>10</v>
      </c>
    </row>
    <row r="12" spans="1:10">
      <c r="A12" s="20">
        <v>11</v>
      </c>
      <c r="B12" s="20" t="s">
        <v>21</v>
      </c>
      <c r="C12" s="8">
        <v>46219</v>
      </c>
      <c r="D12" s="8">
        <v>46223</v>
      </c>
      <c r="E12" s="9">
        <v>150000</v>
      </c>
      <c r="F12" s="9">
        <v>148000</v>
      </c>
      <c r="G12" s="20">
        <v>100</v>
      </c>
      <c r="H12" s="20">
        <v>100</v>
      </c>
      <c r="I12" s="20" t="s">
        <v>11</v>
      </c>
      <c r="J12" s="20">
        <f t="shared" si="0"/>
        <v>5</v>
      </c>
    </row>
    <row r="13" spans="1:10">
      <c r="A13" s="20">
        <v>12</v>
      </c>
      <c r="B13" s="20" t="s">
        <v>22</v>
      </c>
      <c r="C13" s="8">
        <v>46224</v>
      </c>
      <c r="D13" s="8">
        <v>46234</v>
      </c>
      <c r="E13" s="9">
        <v>240000</v>
      </c>
      <c r="F13" s="9">
        <v>250000</v>
      </c>
      <c r="G13" s="20">
        <v>100</v>
      </c>
      <c r="H13" s="20">
        <v>100</v>
      </c>
      <c r="I13" s="20" t="s">
        <v>11</v>
      </c>
      <c r="J13" s="20">
        <f t="shared" si="0"/>
        <v>11</v>
      </c>
    </row>
    <row r="14" spans="1:10">
      <c r="A14" s="20">
        <v>13</v>
      </c>
      <c r="B14" s="20" t="s">
        <v>23</v>
      </c>
      <c r="C14" s="8">
        <v>46235</v>
      </c>
      <c r="D14" s="8">
        <v>46239</v>
      </c>
      <c r="E14" s="9">
        <v>155000</v>
      </c>
      <c r="F14" s="9">
        <v>0</v>
      </c>
      <c r="G14" s="20">
        <v>80</v>
      </c>
      <c r="H14" s="20">
        <v>75</v>
      </c>
      <c r="I14" s="20" t="s">
        <v>24</v>
      </c>
      <c r="J14" s="20">
        <f t="shared" si="0"/>
        <v>5</v>
      </c>
    </row>
    <row r="15" spans="1:10">
      <c r="A15" s="20">
        <v>14</v>
      </c>
      <c r="B15" s="20" t="s">
        <v>25</v>
      </c>
      <c r="C15" s="8">
        <v>46240</v>
      </c>
      <c r="D15" s="8">
        <v>46249</v>
      </c>
      <c r="E15" s="9">
        <v>245000</v>
      </c>
      <c r="F15" s="9">
        <v>0</v>
      </c>
      <c r="G15" s="20">
        <v>60</v>
      </c>
      <c r="H15" s="20">
        <v>45</v>
      </c>
      <c r="I15" s="20" t="s">
        <v>26</v>
      </c>
      <c r="J15" s="20">
        <f t="shared" si="0"/>
        <v>10</v>
      </c>
    </row>
    <row r="16" spans="1:10">
      <c r="A16" s="20">
        <v>15</v>
      </c>
      <c r="B16" s="20" t="s">
        <v>27</v>
      </c>
      <c r="C16" s="8">
        <v>46250</v>
      </c>
      <c r="D16" s="8">
        <v>46259</v>
      </c>
      <c r="E16" s="9">
        <v>110000</v>
      </c>
      <c r="F16" s="9">
        <v>0</v>
      </c>
      <c r="G16" s="20">
        <v>70</v>
      </c>
      <c r="H16" s="20">
        <v>60</v>
      </c>
      <c r="I16" s="20" t="s">
        <v>26</v>
      </c>
      <c r="J16" s="20">
        <f t="shared" si="0"/>
        <v>10</v>
      </c>
    </row>
    <row r="17" spans="1:10">
      <c r="A17" s="20">
        <v>16</v>
      </c>
      <c r="B17" s="20" t="s">
        <v>28</v>
      </c>
      <c r="C17" s="8">
        <v>46260</v>
      </c>
      <c r="D17" s="8">
        <v>46270</v>
      </c>
      <c r="E17" s="9">
        <v>115000</v>
      </c>
      <c r="F17" s="9">
        <v>0</v>
      </c>
      <c r="G17" s="20">
        <v>50</v>
      </c>
      <c r="H17" s="20">
        <v>35</v>
      </c>
      <c r="I17" s="20" t="s">
        <v>26</v>
      </c>
      <c r="J17" s="20">
        <f t="shared" si="0"/>
        <v>11</v>
      </c>
    </row>
    <row r="18" spans="1:10">
      <c r="A18" s="20">
        <v>17</v>
      </c>
      <c r="B18" s="20" t="s">
        <v>29</v>
      </c>
      <c r="C18" s="8">
        <v>46271</v>
      </c>
      <c r="D18" s="8">
        <v>46280</v>
      </c>
      <c r="E18" s="9">
        <v>95000</v>
      </c>
      <c r="F18" s="9">
        <v>0</v>
      </c>
      <c r="G18" s="20">
        <v>30</v>
      </c>
      <c r="H18" s="20">
        <v>20</v>
      </c>
      <c r="I18" s="20" t="s">
        <v>24</v>
      </c>
      <c r="J18" s="20">
        <f t="shared" si="0"/>
        <v>10</v>
      </c>
    </row>
    <row r="19" spans="1:10">
      <c r="A19" s="20">
        <v>18</v>
      </c>
      <c r="B19" s="20" t="s">
        <v>30</v>
      </c>
      <c r="C19" s="8">
        <v>46281</v>
      </c>
      <c r="D19" s="8">
        <v>46290</v>
      </c>
      <c r="E19" s="9">
        <v>105000</v>
      </c>
      <c r="F19" s="9">
        <v>0</v>
      </c>
      <c r="G19" s="20">
        <v>15</v>
      </c>
      <c r="H19" s="20">
        <v>10</v>
      </c>
      <c r="I19" s="20" t="s">
        <v>24</v>
      </c>
      <c r="J19" s="20">
        <f t="shared" si="0"/>
        <v>10</v>
      </c>
    </row>
    <row r="20" spans="1:10">
      <c r="A20" s="20">
        <v>19</v>
      </c>
      <c r="B20" s="20" t="s">
        <v>31</v>
      </c>
      <c r="C20" s="8">
        <v>46291</v>
      </c>
      <c r="D20" s="8">
        <v>46295</v>
      </c>
      <c r="E20" s="9">
        <v>80000</v>
      </c>
      <c r="F20" s="9">
        <v>0</v>
      </c>
      <c r="G20" s="20">
        <v>0</v>
      </c>
      <c r="H20" s="20">
        <v>0</v>
      </c>
      <c r="I20" s="20" t="s">
        <v>32</v>
      </c>
      <c r="J20" s="20">
        <f t="shared" si="0"/>
        <v>5</v>
      </c>
    </row>
    <row r="21" spans="1:10">
      <c r="A21" s="20">
        <v>20</v>
      </c>
      <c r="B21" s="20" t="s">
        <v>33</v>
      </c>
      <c r="C21" s="8">
        <v>46296</v>
      </c>
      <c r="D21" s="8">
        <v>46302</v>
      </c>
      <c r="E21" s="9">
        <v>90000</v>
      </c>
      <c r="F21" s="9">
        <v>0</v>
      </c>
      <c r="G21" s="20">
        <v>0</v>
      </c>
      <c r="H21" s="20">
        <v>0</v>
      </c>
      <c r="I21" s="20" t="s">
        <v>32</v>
      </c>
      <c r="J21" s="20">
        <f t="shared" si="0"/>
        <v>7</v>
      </c>
    </row>
    <row r="22" spans="1:10">
      <c r="A22" s="20">
        <v>21</v>
      </c>
      <c r="B22" s="20" t="s">
        <v>34</v>
      </c>
      <c r="C22" s="8">
        <v>46303</v>
      </c>
      <c r="D22" s="8">
        <v>46313</v>
      </c>
      <c r="E22" s="9">
        <v>180000</v>
      </c>
      <c r="F22" s="9">
        <v>0</v>
      </c>
      <c r="G22" s="20">
        <v>0</v>
      </c>
      <c r="H22" s="20">
        <v>0</v>
      </c>
      <c r="I22" s="20" t="s">
        <v>32</v>
      </c>
      <c r="J22" s="20">
        <f t="shared" si="0"/>
        <v>11</v>
      </c>
    </row>
    <row r="23" spans="1:10">
      <c r="A23" s="20">
        <v>22</v>
      </c>
      <c r="B23" s="20" t="s">
        <v>35</v>
      </c>
      <c r="C23" s="8">
        <v>46314</v>
      </c>
      <c r="D23" s="8">
        <v>46325</v>
      </c>
      <c r="E23" s="9">
        <v>130000</v>
      </c>
      <c r="F23" s="9">
        <v>0</v>
      </c>
      <c r="G23" s="20">
        <v>0</v>
      </c>
      <c r="H23" s="20">
        <v>0</v>
      </c>
      <c r="I23" s="20" t="s">
        <v>32</v>
      </c>
      <c r="J23" s="20">
        <f t="shared" si="0"/>
        <v>12</v>
      </c>
    </row>
    <row r="24" spans="1:10">
      <c r="A24" s="20">
        <v>23</v>
      </c>
      <c r="B24" s="20" t="s">
        <v>36</v>
      </c>
      <c r="C24" s="8">
        <v>46327</v>
      </c>
      <c r="D24" s="8">
        <v>46333</v>
      </c>
      <c r="E24" s="9">
        <v>160000</v>
      </c>
      <c r="F24" s="9">
        <v>0</v>
      </c>
      <c r="G24" s="20">
        <v>0</v>
      </c>
      <c r="H24" s="20">
        <v>0</v>
      </c>
      <c r="I24" s="20" t="s">
        <v>32</v>
      </c>
      <c r="J24" s="20">
        <f t="shared" si="0"/>
        <v>7</v>
      </c>
    </row>
    <row r="25" spans="1:10">
      <c r="A25" s="20">
        <v>24</v>
      </c>
      <c r="B25" s="20" t="s">
        <v>37</v>
      </c>
      <c r="C25" s="8">
        <v>46334</v>
      </c>
      <c r="D25" s="8">
        <v>46341</v>
      </c>
      <c r="E25" s="9">
        <v>90000</v>
      </c>
      <c r="F25" s="9">
        <v>0</v>
      </c>
      <c r="G25" s="20">
        <v>0</v>
      </c>
      <c r="H25" s="20">
        <v>0</v>
      </c>
      <c r="I25" s="20" t="s">
        <v>32</v>
      </c>
      <c r="J25" s="20">
        <f t="shared" si="0"/>
        <v>8</v>
      </c>
    </row>
    <row r="26" spans="1:10">
      <c r="A26" s="20">
        <v>25</v>
      </c>
      <c r="B26" s="20" t="s">
        <v>38</v>
      </c>
      <c r="C26" s="8">
        <v>46342</v>
      </c>
      <c r="D26" s="8">
        <v>46344</v>
      </c>
      <c r="E26" s="9">
        <v>20000</v>
      </c>
      <c r="F26" s="9">
        <v>0</v>
      </c>
      <c r="G26" s="20">
        <v>0</v>
      </c>
      <c r="H26" s="20">
        <v>0</v>
      </c>
      <c r="I26" s="20" t="s">
        <v>32</v>
      </c>
      <c r="J26" s="20">
        <f t="shared" si="0"/>
        <v>3</v>
      </c>
    </row>
    <row r="38" spans="1:1">
      <c r="A38">
        <v>5</v>
      </c>
    </row>
    <row r="44" spans="1:1">
      <c r="A44">
        <v>100</v>
      </c>
    </row>
    <row r="45" spans="1:1">
      <c r="A45">
        <v>100</v>
      </c>
    </row>
    <row r="46" spans="1:1">
      <c r="A46" t="s">
        <v>11</v>
      </c>
    </row>
    <row r="175" spans="1:1">
      <c r="A17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B35A-E5C6-43F7-AC7E-4A02E1CCDD98}">
  <dimension ref="A6:J15"/>
  <sheetViews>
    <sheetView topLeftCell="F7" workbookViewId="0">
      <selection activeCell="I15" sqref="I15:J15"/>
    </sheetView>
  </sheetViews>
  <sheetFormatPr defaultRowHeight="15"/>
  <cols>
    <col min="1" max="1" width="15" customWidth="1"/>
    <col min="2" max="2" width="13.85546875" bestFit="1" customWidth="1"/>
    <col min="8" max="8" width="15.28515625" customWidth="1"/>
    <col min="9" max="9" width="17.5703125" bestFit="1" customWidth="1"/>
  </cols>
  <sheetData>
    <row r="6" spans="1:10">
      <c r="A6" s="12"/>
    </row>
    <row r="7" spans="1:10">
      <c r="A7" s="12"/>
    </row>
    <row r="8" spans="1:10">
      <c r="A8" s="12"/>
    </row>
    <row r="9" spans="1:10">
      <c r="A9" s="12"/>
    </row>
    <row r="10" spans="1:10">
      <c r="A10" s="13"/>
    </row>
    <row r="11" spans="1:10" ht="15" customHeight="1">
      <c r="A11" s="12"/>
      <c r="H11" s="19" t="s">
        <v>39</v>
      </c>
      <c r="I11" s="21">
        <v>2810000</v>
      </c>
      <c r="J11" s="21"/>
    </row>
    <row r="12" spans="1:10" ht="15" customHeight="1">
      <c r="A12" s="12"/>
      <c r="H12" s="19" t="s">
        <v>5</v>
      </c>
      <c r="I12" s="21">
        <v>1277000</v>
      </c>
      <c r="J12" s="21"/>
    </row>
    <row r="13" spans="1:10" ht="18.75">
      <c r="A13" s="12"/>
      <c r="H13" s="10" t="s">
        <v>40</v>
      </c>
      <c r="I13" s="26">
        <v>1533000</v>
      </c>
      <c r="J13" s="27"/>
    </row>
    <row r="14" spans="1:10">
      <c r="H14" s="10" t="s">
        <v>41</v>
      </c>
      <c r="I14" s="22">
        <v>0.57799999999999996</v>
      </c>
      <c r="J14" s="23"/>
    </row>
    <row r="15" spans="1:10">
      <c r="H15" s="11" t="s">
        <v>42</v>
      </c>
      <c r="I15" s="24">
        <v>3</v>
      </c>
      <c r="J15" s="25"/>
    </row>
  </sheetData>
  <mergeCells count="5">
    <mergeCell ref="I11:J11"/>
    <mergeCell ref="I12:J12"/>
    <mergeCell ref="I14:J14"/>
    <mergeCell ref="I15:J15"/>
    <mergeCell ref="I13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46AE-C853-455A-8879-925A5DBB2819}">
  <dimension ref="A3:B8"/>
  <sheetViews>
    <sheetView workbookViewId="0">
      <selection activeCell="B8" sqref="B8"/>
    </sheetView>
  </sheetViews>
  <sheetFormatPr defaultRowHeight="15"/>
  <cols>
    <col min="1" max="1" width="15.7109375" customWidth="1"/>
    <col min="2" max="2" width="16.7109375" customWidth="1"/>
  </cols>
  <sheetData>
    <row r="3" spans="1:2">
      <c r="A3" s="15" t="s">
        <v>8</v>
      </c>
      <c r="B3" s="14" t="s">
        <v>43</v>
      </c>
    </row>
    <row r="4" spans="1:2">
      <c r="A4" s="20" t="s">
        <v>11</v>
      </c>
      <c r="B4" s="18">
        <v>12</v>
      </c>
    </row>
    <row r="5" spans="1:2">
      <c r="A5" s="20" t="s">
        <v>26</v>
      </c>
      <c r="B5" s="18">
        <v>3</v>
      </c>
    </row>
    <row r="6" spans="1:2">
      <c r="A6" s="20" t="s">
        <v>32</v>
      </c>
      <c r="B6" s="18">
        <v>7</v>
      </c>
    </row>
    <row r="7" spans="1:2">
      <c r="A7" s="20" t="s">
        <v>24</v>
      </c>
      <c r="B7" s="18">
        <v>3</v>
      </c>
    </row>
    <row r="8" spans="1:2">
      <c r="A8" s="20" t="s">
        <v>44</v>
      </c>
      <c r="B8" s="18">
        <v>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F88B-CC1C-4FBD-A895-3D8D00C06933}">
  <dimension ref="A3:C29"/>
  <sheetViews>
    <sheetView topLeftCell="A3" workbookViewId="0">
      <selection activeCell="C29" sqref="C29"/>
    </sheetView>
  </sheetViews>
  <sheetFormatPr defaultRowHeight="15"/>
  <cols>
    <col min="1" max="1" width="20.85546875" bestFit="1" customWidth="1"/>
    <col min="2" max="2" width="17.5703125" bestFit="1" customWidth="1"/>
    <col min="3" max="3" width="19.140625" bestFit="1" customWidth="1"/>
  </cols>
  <sheetData>
    <row r="3" spans="1:3">
      <c r="A3" s="15" t="s">
        <v>1</v>
      </c>
      <c r="B3" s="14" t="s">
        <v>45</v>
      </c>
      <c r="C3" s="14" t="s">
        <v>46</v>
      </c>
    </row>
    <row r="4" spans="1:3" ht="15.75">
      <c r="A4" s="17" t="s">
        <v>18</v>
      </c>
      <c r="B4" s="16">
        <v>32000</v>
      </c>
      <c r="C4" s="16">
        <v>30000</v>
      </c>
    </row>
    <row r="5" spans="1:3" ht="15.75">
      <c r="A5" s="17" t="s">
        <v>28</v>
      </c>
      <c r="B5" s="16">
        <v>0</v>
      </c>
      <c r="C5" s="16">
        <v>115000</v>
      </c>
    </row>
    <row r="6" spans="1:3" ht="15.75">
      <c r="A6" s="17" t="s">
        <v>27</v>
      </c>
      <c r="B6" s="16">
        <v>0</v>
      </c>
      <c r="C6" s="16">
        <v>110000</v>
      </c>
    </row>
    <row r="7" spans="1:3" ht="15.75">
      <c r="A7" s="17" t="s">
        <v>16</v>
      </c>
      <c r="B7" s="16">
        <v>52000</v>
      </c>
      <c r="C7" s="16">
        <v>50000</v>
      </c>
    </row>
    <row r="8" spans="1:3" ht="15.75">
      <c r="A8" s="17" t="s">
        <v>36</v>
      </c>
      <c r="B8" s="16">
        <v>0</v>
      </c>
      <c r="C8" s="16">
        <v>160000</v>
      </c>
    </row>
    <row r="9" spans="1:3" ht="15.75">
      <c r="A9" s="17" t="s">
        <v>31</v>
      </c>
      <c r="B9" s="16">
        <v>0</v>
      </c>
      <c r="C9" s="16">
        <v>80000</v>
      </c>
    </row>
    <row r="10" spans="1:3" ht="15.75">
      <c r="A10" s="17" t="s">
        <v>12</v>
      </c>
      <c r="B10" s="16">
        <v>65000</v>
      </c>
      <c r="C10" s="16">
        <v>60000</v>
      </c>
    </row>
    <row r="11" spans="1:3" ht="15.75">
      <c r="A11" s="17" t="s">
        <v>30</v>
      </c>
      <c r="B11" s="16">
        <v>0</v>
      </c>
      <c r="C11" s="16">
        <v>105000</v>
      </c>
    </row>
    <row r="12" spans="1:3" ht="15.75">
      <c r="A12" s="17" t="s">
        <v>37</v>
      </c>
      <c r="B12" s="16">
        <v>0</v>
      </c>
      <c r="C12" s="16">
        <v>90000</v>
      </c>
    </row>
    <row r="13" spans="1:3" ht="15.75">
      <c r="A13" s="17" t="s">
        <v>21</v>
      </c>
      <c r="B13" s="16">
        <v>148000</v>
      </c>
      <c r="C13" s="16">
        <v>150000</v>
      </c>
    </row>
    <row r="14" spans="1:3" ht="15.75">
      <c r="A14" s="17" t="s">
        <v>22</v>
      </c>
      <c r="B14" s="16">
        <v>250000</v>
      </c>
      <c r="C14" s="16">
        <v>240000</v>
      </c>
    </row>
    <row r="15" spans="1:3" ht="15.75">
      <c r="A15" s="17" t="s">
        <v>34</v>
      </c>
      <c r="B15" s="16">
        <v>0</v>
      </c>
      <c r="C15" s="16">
        <v>180000</v>
      </c>
    </row>
    <row r="16" spans="1:3" ht="15.75">
      <c r="A16" s="17" t="s">
        <v>15</v>
      </c>
      <c r="B16" s="16">
        <v>82000</v>
      </c>
      <c r="C16" s="16">
        <v>85000</v>
      </c>
    </row>
    <row r="17" spans="1:3" ht="15.75">
      <c r="A17" s="17" t="s">
        <v>14</v>
      </c>
      <c r="B17" s="16">
        <v>78000</v>
      </c>
      <c r="C17" s="16">
        <v>75000</v>
      </c>
    </row>
    <row r="18" spans="1:3" ht="15.75">
      <c r="A18" s="17" t="s">
        <v>19</v>
      </c>
      <c r="B18" s="16">
        <v>145000</v>
      </c>
      <c r="C18" s="16">
        <v>140000</v>
      </c>
    </row>
    <row r="19" spans="1:3" ht="15.75">
      <c r="A19" s="17" t="s">
        <v>20</v>
      </c>
      <c r="B19" s="16">
        <v>235000</v>
      </c>
      <c r="C19" s="16">
        <v>220000</v>
      </c>
    </row>
    <row r="20" spans="1:3" ht="15.75">
      <c r="A20" s="17" t="s">
        <v>29</v>
      </c>
      <c r="B20" s="16">
        <v>0</v>
      </c>
      <c r="C20" s="16">
        <v>95000</v>
      </c>
    </row>
    <row r="21" spans="1:3" ht="15.75">
      <c r="A21" s="17" t="s">
        <v>35</v>
      </c>
      <c r="B21" s="16">
        <v>0</v>
      </c>
      <c r="C21" s="16">
        <v>130000</v>
      </c>
    </row>
    <row r="22" spans="1:3" ht="15.75">
      <c r="A22" s="17" t="s">
        <v>13</v>
      </c>
      <c r="B22" s="16">
        <v>42000</v>
      </c>
      <c r="C22" s="16">
        <v>40000</v>
      </c>
    </row>
    <row r="23" spans="1:3" ht="15.75">
      <c r="A23" s="17" t="s">
        <v>17</v>
      </c>
      <c r="B23" s="16">
        <v>125000</v>
      </c>
      <c r="C23" s="16">
        <v>120000</v>
      </c>
    </row>
    <row r="24" spans="1:3" ht="15.75">
      <c r="A24" s="17" t="s">
        <v>33</v>
      </c>
      <c r="B24" s="16">
        <v>0</v>
      </c>
      <c r="C24" s="16">
        <v>90000</v>
      </c>
    </row>
    <row r="25" spans="1:3" ht="15.75">
      <c r="A25" s="17" t="s">
        <v>38</v>
      </c>
      <c r="B25" s="16">
        <v>0</v>
      </c>
      <c r="C25" s="16">
        <v>20000</v>
      </c>
    </row>
    <row r="26" spans="1:3" ht="15.75">
      <c r="A26" s="17" t="s">
        <v>23</v>
      </c>
      <c r="B26" s="16">
        <v>0</v>
      </c>
      <c r="C26" s="16">
        <v>155000</v>
      </c>
    </row>
    <row r="27" spans="1:3" ht="15.75">
      <c r="A27" s="17" t="s">
        <v>25</v>
      </c>
      <c r="B27" s="16">
        <v>0</v>
      </c>
      <c r="C27" s="16">
        <v>245000</v>
      </c>
    </row>
    <row r="28" spans="1:3" ht="15.75">
      <c r="A28" s="17" t="s">
        <v>10</v>
      </c>
      <c r="B28" s="16">
        <v>23000</v>
      </c>
      <c r="C28" s="16">
        <v>25000</v>
      </c>
    </row>
    <row r="29" spans="1:3" ht="15.75">
      <c r="A29" s="17" t="s">
        <v>44</v>
      </c>
      <c r="B29" s="16">
        <v>1277000</v>
      </c>
      <c r="C29" s="16">
        <v>2810000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5487-CF82-4A91-8368-50739410E19F}">
  <dimension ref="A1:T30"/>
  <sheetViews>
    <sheetView workbookViewId="0">
      <selection activeCell="A26" sqref="A26:J30"/>
    </sheetView>
  </sheetViews>
  <sheetFormatPr defaultRowHeight="15"/>
  <cols>
    <col min="1" max="10" width="16.7109375" customWidth="1"/>
  </cols>
  <sheetData>
    <row r="1" spans="1:20" ht="33.75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9"/>
      <c r="L1" s="29"/>
      <c r="M1" s="29"/>
      <c r="N1" s="29"/>
      <c r="O1" s="29"/>
      <c r="P1" s="29"/>
      <c r="Q1" s="29"/>
      <c r="R1" s="29"/>
      <c r="S1" s="29"/>
      <c r="T1" s="29"/>
    </row>
    <row r="3" spans="1:20" ht="14.25" customHeight="1">
      <c r="A3" s="34" t="s">
        <v>39</v>
      </c>
      <c r="B3" s="35"/>
      <c r="C3" s="46" t="s">
        <v>48</v>
      </c>
      <c r="D3" s="46"/>
      <c r="E3" s="47" t="s">
        <v>40</v>
      </c>
      <c r="F3" s="47"/>
      <c r="G3" s="42" t="s">
        <v>41</v>
      </c>
      <c r="H3" s="42"/>
      <c r="I3" s="36" t="s">
        <v>42</v>
      </c>
      <c r="J3" s="37"/>
    </row>
    <row r="4" spans="1:20">
      <c r="A4" s="30">
        <f>KPI!I11</f>
        <v>2810000</v>
      </c>
      <c r="B4" s="31"/>
      <c r="C4" s="30">
        <f>KPI!I12</f>
        <v>1277000</v>
      </c>
      <c r="D4" s="31"/>
      <c r="E4" s="30">
        <f>KPI!I13</f>
        <v>1533000</v>
      </c>
      <c r="F4" s="31"/>
      <c r="G4" s="43">
        <f>KPI!I14</f>
        <v>0.57799999999999996</v>
      </c>
      <c r="H4" s="44"/>
      <c r="I4" s="38">
        <f>KPI!I15</f>
        <v>3</v>
      </c>
      <c r="J4" s="39"/>
    </row>
    <row r="5" spans="1:20">
      <c r="A5" s="32"/>
      <c r="B5" s="33"/>
      <c r="C5" s="32"/>
      <c r="D5" s="33"/>
      <c r="E5" s="32"/>
      <c r="F5" s="33"/>
      <c r="G5" s="40"/>
      <c r="H5" s="45"/>
      <c r="I5" s="40"/>
      <c r="J5" s="41"/>
    </row>
    <row r="6" spans="1:20">
      <c r="F6" s="14"/>
    </row>
    <row r="26" spans="1:10">
      <c r="A26" s="48" t="s">
        <v>49</v>
      </c>
      <c r="B26" s="48"/>
      <c r="C26" s="48"/>
      <c r="D26" s="48"/>
      <c r="E26" s="48"/>
      <c r="F26" s="48"/>
      <c r="G26" s="48"/>
      <c r="H26" s="48"/>
      <c r="I26" s="48"/>
      <c r="J26" s="48"/>
    </row>
    <row r="27" spans="1:10">
      <c r="A27" s="48"/>
      <c r="B27" s="48"/>
      <c r="C27" s="48"/>
      <c r="D27" s="48"/>
      <c r="E27" s="48"/>
      <c r="F27" s="48"/>
      <c r="G27" s="48"/>
      <c r="H27" s="48"/>
      <c r="I27" s="48"/>
      <c r="J27" s="48"/>
    </row>
    <row r="28" spans="1:10">
      <c r="A28" s="48"/>
      <c r="B28" s="48"/>
      <c r="C28" s="48"/>
      <c r="D28" s="48"/>
      <c r="E28" s="48"/>
      <c r="F28" s="48"/>
      <c r="G28" s="48"/>
      <c r="H28" s="48"/>
      <c r="I28" s="48"/>
      <c r="J28" s="48"/>
    </row>
    <row r="29" spans="1:10">
      <c r="A29" s="48"/>
      <c r="B29" s="48"/>
      <c r="C29" s="48"/>
      <c r="D29" s="48"/>
      <c r="E29" s="48"/>
      <c r="F29" s="48"/>
      <c r="G29" s="48"/>
      <c r="H29" s="48"/>
      <c r="I29" s="48"/>
      <c r="J29" s="48"/>
    </row>
    <row r="30" spans="1:10">
      <c r="A30" s="48"/>
      <c r="B30" s="48"/>
      <c r="C30" s="48"/>
      <c r="D30" s="48"/>
      <c r="E30" s="48"/>
      <c r="F30" s="48"/>
      <c r="G30" s="48"/>
      <c r="H30" s="48"/>
      <c r="I30" s="48"/>
      <c r="J30" s="48"/>
    </row>
  </sheetData>
  <mergeCells count="13">
    <mergeCell ref="A26:J30"/>
    <mergeCell ref="A1:J1"/>
    <mergeCell ref="K1:T1"/>
    <mergeCell ref="A4:B5"/>
    <mergeCell ref="A3:B3"/>
    <mergeCell ref="I3:J3"/>
    <mergeCell ref="I4:J5"/>
    <mergeCell ref="G3:H3"/>
    <mergeCell ref="G4:H5"/>
    <mergeCell ref="C3:D3"/>
    <mergeCell ref="C4:D5"/>
    <mergeCell ref="E3:F3"/>
    <mergeCell ref="E4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2026-06-10T06:40:38Z</dcterms:created>
  <dcterms:modified xsi:type="dcterms:W3CDTF">2026-06-10T11:46:34Z</dcterms:modified>
  <cp:category/>
  <cp:contentStatus/>
</cp:coreProperties>
</file>